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Code\"/>
    </mc:Choice>
  </mc:AlternateContent>
  <xr:revisionPtr revIDLastSave="0" documentId="13_ncr:1_{1B302CAC-323C-46E3-992F-493CF4BC9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_ESMs" sheetId="4" r:id="rId1"/>
    <sheet name="All_ESMs" sheetId="3" r:id="rId2"/>
    <sheet name="Tabelle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2" i="3"/>
  <c r="C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D20" i="4" l="1"/>
  <c r="D33" i="3"/>
</calcChain>
</file>

<file path=xl/sharedStrings.xml><?xml version="1.0" encoding="utf-8"?>
<sst xmlns="http://schemas.openxmlformats.org/spreadsheetml/2006/main" count="607" uniqueCount="198">
  <si>
    <t>ESM</t>
  </si>
  <si>
    <t>ACCESS-CM2</t>
  </si>
  <si>
    <t>BCC-CSM2-MR</t>
  </si>
  <si>
    <t>CESM2</t>
  </si>
  <si>
    <t>CESM2-WACCM</t>
  </si>
  <si>
    <t>CNRMCM6-1</t>
  </si>
  <si>
    <t>CNRM-CM6-1-HR</t>
  </si>
  <si>
    <t>CNRM-ESM2-1</t>
  </si>
  <si>
    <t>EC-Earth3</t>
  </si>
  <si>
    <t>EC-Earth3-Veg</t>
  </si>
  <si>
    <t>GFDL-CM4</t>
  </si>
  <si>
    <t>GFDL-ESM4</t>
  </si>
  <si>
    <t>HadGEM3GC31-LL</t>
  </si>
  <si>
    <t>HadGEM-GC31-MM</t>
  </si>
  <si>
    <t>MPI-ESM1-2-HR</t>
  </si>
  <si>
    <t>MRI-ESM2-0</t>
  </si>
  <si>
    <t>KACE-1-0-G</t>
  </si>
  <si>
    <t>TaiEMS1</t>
  </si>
  <si>
    <t>UKESM1-0LL</t>
  </si>
  <si>
    <t>Runs</t>
  </si>
  <si>
    <t>r1i1p1f1</t>
  </si>
  <si>
    <t xml:space="preserve">r1i1p1f1 </t>
  </si>
  <si>
    <t xml:space="preserve"> r4i1p1f1 </t>
  </si>
  <si>
    <t xml:space="preserve"> r5i1p1f1</t>
  </si>
  <si>
    <t xml:space="preserve">r10i1p1f1 </t>
  </si>
  <si>
    <t xml:space="preserve"> r11i1p1f1 </t>
  </si>
  <si>
    <t xml:space="preserve"> r4i1p1f1</t>
  </si>
  <si>
    <t xml:space="preserve">r101i1p1f1 </t>
  </si>
  <si>
    <t xml:space="preserve"> r102i1p1f1 </t>
  </si>
  <si>
    <t xml:space="preserve"> r103i1p1f1 </t>
  </si>
  <si>
    <t xml:space="preserve"> r104i1p1f1 </t>
  </si>
  <si>
    <t xml:space="preserve"> r105i1p1f1 </t>
  </si>
  <si>
    <t xml:space="preserve"> r106i1p1f1 </t>
  </si>
  <si>
    <t xml:space="preserve"> r107i1p1f1 </t>
  </si>
  <si>
    <t xml:space="preserve"> r108i1p1f1 </t>
  </si>
  <si>
    <t xml:space="preserve"> r109i1p1f1 </t>
  </si>
  <si>
    <t xml:space="preserve"> r110i1p1f1 </t>
  </si>
  <si>
    <t xml:space="preserve"> r111i1p1f1 </t>
  </si>
  <si>
    <t xml:space="preserve"> r112i1p1f1 </t>
  </si>
  <si>
    <t xml:space="preserve"> r113i1p1f1 </t>
  </si>
  <si>
    <t xml:space="preserve"> r114i1p1f1 </t>
  </si>
  <si>
    <t xml:space="preserve"> r115i1p1f1 </t>
  </si>
  <si>
    <t xml:space="preserve"> r116i1p1f1 </t>
  </si>
  <si>
    <t xml:space="preserve"> r117i1p1f1 </t>
  </si>
  <si>
    <t xml:space="preserve"> r118i1p1f1 </t>
  </si>
  <si>
    <t xml:space="preserve"> r119i1p1f1 </t>
  </si>
  <si>
    <t xml:space="preserve"> r120i1p1f1 </t>
  </si>
  <si>
    <t xml:space="preserve"> r121i1p1f1 </t>
  </si>
  <si>
    <t xml:space="preserve"> r122i1p1f1 </t>
  </si>
  <si>
    <t xml:space="preserve"> r123i1p1f1 </t>
  </si>
  <si>
    <t xml:space="preserve"> r124i1p1f1 </t>
  </si>
  <si>
    <t xml:space="preserve"> r125i1p1f1 </t>
  </si>
  <si>
    <t xml:space="preserve"> r126i1p1f1 </t>
  </si>
  <si>
    <t xml:space="preserve"> r127i1p1f1 </t>
  </si>
  <si>
    <t xml:space="preserve"> r128i1p1f1 </t>
  </si>
  <si>
    <t xml:space="preserve"> r129i1p1f1 </t>
  </si>
  <si>
    <t xml:space="preserve"> r130i1p1f1 </t>
  </si>
  <si>
    <t xml:space="preserve"> r131i1p1f1 </t>
  </si>
  <si>
    <t xml:space="preserve"> r132i1p1f1 </t>
  </si>
  <si>
    <t xml:space="preserve"> r133i1p1f1 </t>
  </si>
  <si>
    <t xml:space="preserve"> r134i1p1f1 </t>
  </si>
  <si>
    <t xml:space="preserve"> r135i1p1f1 </t>
  </si>
  <si>
    <t xml:space="preserve"> r136i1p1f1 </t>
  </si>
  <si>
    <t xml:space="preserve"> r137i1p1f1 </t>
  </si>
  <si>
    <t xml:space="preserve"> r138i1p1f1 </t>
  </si>
  <si>
    <t xml:space="preserve"> r139i1p1f1 </t>
  </si>
  <si>
    <t xml:space="preserve"> r13i1p1f1 </t>
  </si>
  <si>
    <t xml:space="preserve"> r140i1p1f1 </t>
  </si>
  <si>
    <t xml:space="preserve"> r141i1p1f1 </t>
  </si>
  <si>
    <t xml:space="preserve"> r142i1p1f1 </t>
  </si>
  <si>
    <t xml:space="preserve"> r143i1p1f1 </t>
  </si>
  <si>
    <t xml:space="preserve"> r144i1p1f1 </t>
  </si>
  <si>
    <t xml:space="preserve"> r145i1p1f1 </t>
  </si>
  <si>
    <t xml:space="preserve"> r146i1p1f1 </t>
  </si>
  <si>
    <t xml:space="preserve"> r147i1p1f1 </t>
  </si>
  <si>
    <t xml:space="preserve"> r148i1p1f1 </t>
  </si>
  <si>
    <t xml:space="preserve"> r149i1p1f1 </t>
  </si>
  <si>
    <t xml:space="preserve"> r150i1p1f1 </t>
  </si>
  <si>
    <t xml:space="preserve"> r15i1p1f1 </t>
  </si>
  <si>
    <t xml:space="preserve"> r1i1p1f1 </t>
  </si>
  <si>
    <t xml:space="preserve"> r5i1p1f1 </t>
  </si>
  <si>
    <t xml:space="preserve"> r6i1p1f1 </t>
  </si>
  <si>
    <t xml:space="preserve"> r9i1p1f1</t>
  </si>
  <si>
    <t xml:space="preserve"> r2i1p1f1 </t>
  </si>
  <si>
    <t xml:space="preserve"> r3i1p1f1 </t>
  </si>
  <si>
    <t xml:space="preserve"> r7i1p1f1 </t>
  </si>
  <si>
    <t xml:space="preserve"> r8i1p1f1 </t>
  </si>
  <si>
    <t xml:space="preserve"> r3i1p1f1</t>
  </si>
  <si>
    <t>Sum</t>
  </si>
  <si>
    <t>Nr. of Runs</t>
  </si>
  <si>
    <t>ACCESS-ESM1-5</t>
  </si>
  <si>
    <t>CAMS-CSM1-0</t>
  </si>
  <si>
    <t>CanESM5</t>
  </si>
  <si>
    <t>CNRM-CM6-1</t>
  </si>
  <si>
    <t>FGOALS-f3-L</t>
  </si>
  <si>
    <t>FGOALS-g3</t>
  </si>
  <si>
    <t>GISS-E2-1-G</t>
  </si>
  <si>
    <t>HadGEM3-GC31-LL</t>
  </si>
  <si>
    <t>HadGEM3-GC31-MM</t>
  </si>
  <si>
    <t>INM-CM4-8</t>
  </si>
  <si>
    <t>INM-CM5-0</t>
  </si>
  <si>
    <t>IPSL-CM6A-LR</t>
  </si>
  <si>
    <t>MIROC6</t>
  </si>
  <si>
    <t>MIROC-ES2L</t>
  </si>
  <si>
    <t>NESM3</t>
  </si>
  <si>
    <t>NorESM2-LM</t>
  </si>
  <si>
    <t>TaiESM1</t>
  </si>
  <si>
    <t>UKESM1-0-LL</t>
  </si>
  <si>
    <t>All ESMs</t>
  </si>
  <si>
    <t>Selected ESMs</t>
  </si>
  <si>
    <t xml:space="preserve"> r12i1p1f1 </t>
  </si>
  <si>
    <t xml:space="preserve"> r14i1p1f1 </t>
  </si>
  <si>
    <t xml:space="preserve"> r16i1p1f1 </t>
  </si>
  <si>
    <t xml:space="preserve"> r17i1p1f1 </t>
  </si>
  <si>
    <t xml:space="preserve"> r18i1p1f1 </t>
  </si>
  <si>
    <t xml:space="preserve"> r19i1p1f1 </t>
  </si>
  <si>
    <t xml:space="preserve"> r20i1p1f1 </t>
  </si>
  <si>
    <t xml:space="preserve"> r21i1p1f1 </t>
  </si>
  <si>
    <t xml:space="preserve"> r22i1p1f1 </t>
  </si>
  <si>
    <t xml:space="preserve"> r23i1p1f1 </t>
  </si>
  <si>
    <t xml:space="preserve"> r24i1p1f1 </t>
  </si>
  <si>
    <t xml:space="preserve"> r25i1p1f1 </t>
  </si>
  <si>
    <t xml:space="preserve"> r26i1p1f1 </t>
  </si>
  <si>
    <t xml:space="preserve"> r27i1p1f1 </t>
  </si>
  <si>
    <t xml:space="preserve"> r28i1p1f1 </t>
  </si>
  <si>
    <t xml:space="preserve"> r29i1p1f1 </t>
  </si>
  <si>
    <t xml:space="preserve"> r30i1p1f1 </t>
  </si>
  <si>
    <t xml:space="preserve"> r31i1p1f1 </t>
  </si>
  <si>
    <t xml:space="preserve"> r32i1p1f1 </t>
  </si>
  <si>
    <t xml:space="preserve"> r33i1p1f1 </t>
  </si>
  <si>
    <t xml:space="preserve"> r34i1p1f1 </t>
  </si>
  <si>
    <t xml:space="preserve"> r35i1p1f1 </t>
  </si>
  <si>
    <t xml:space="preserve"> r36i1p1f1 </t>
  </si>
  <si>
    <t xml:space="preserve"> r37i1p1f1 </t>
  </si>
  <si>
    <t xml:space="preserve"> r38i1p1f1 </t>
  </si>
  <si>
    <t xml:space="preserve"> r39i1p1f1 </t>
  </si>
  <si>
    <t xml:space="preserve"> r40i1p1f1 </t>
  </si>
  <si>
    <t xml:space="preserve"> r10i1p2f1 </t>
  </si>
  <si>
    <t xml:space="preserve"> r11i1p2f1 </t>
  </si>
  <si>
    <t xml:space="preserve"> r12i1p2f1 </t>
  </si>
  <si>
    <t xml:space="preserve"> r13i1p2f1 </t>
  </si>
  <si>
    <t xml:space="preserve"> r14i1p2f1 </t>
  </si>
  <si>
    <t xml:space="preserve"> r15i1p2f1 </t>
  </si>
  <si>
    <t xml:space="preserve"> r16i1p2f1 </t>
  </si>
  <si>
    <t xml:space="preserve"> r17i1p2f1 </t>
  </si>
  <si>
    <t xml:space="preserve"> r18i1p2f1 </t>
  </si>
  <si>
    <t xml:space="preserve"> r19i1p2f1 </t>
  </si>
  <si>
    <t xml:space="preserve"> r1i1p2f1 </t>
  </si>
  <si>
    <t xml:space="preserve"> r20i1p2f1 </t>
  </si>
  <si>
    <t xml:space="preserve"> r21i1p2f1 </t>
  </si>
  <si>
    <t xml:space="preserve"> r22i1p2f1 </t>
  </si>
  <si>
    <t xml:space="preserve"> r23i1p2f1 </t>
  </si>
  <si>
    <t xml:space="preserve"> r24i1p2f1 </t>
  </si>
  <si>
    <t xml:space="preserve"> r25i1p2f1 </t>
  </si>
  <si>
    <t xml:space="preserve"> r2i1p2f1 </t>
  </si>
  <si>
    <t xml:space="preserve"> r3i1p2f1 </t>
  </si>
  <si>
    <t xml:space="preserve"> r4i1p2f1 </t>
  </si>
  <si>
    <t xml:space="preserve"> r5i1p2f1 </t>
  </si>
  <si>
    <t xml:space="preserve"> r6i1p2f1 </t>
  </si>
  <si>
    <t xml:space="preserve"> r7i1p2f1 </t>
  </si>
  <si>
    <t xml:space="preserve"> r8i1p2f1 </t>
  </si>
  <si>
    <t xml:space="preserve"> r9i1p1f1 </t>
  </si>
  <si>
    <t xml:space="preserve"> r9i1p2f1</t>
  </si>
  <si>
    <t xml:space="preserve"> r41i1p1f1 </t>
  </si>
  <si>
    <t xml:space="preserve"> r42i1p1f1 </t>
  </si>
  <si>
    <t xml:space="preserve"> r43i1p1f1 </t>
  </si>
  <si>
    <t xml:space="preserve"> r44i1p1f1 </t>
  </si>
  <si>
    <t xml:space="preserve"> r45i1p1f1 </t>
  </si>
  <si>
    <t xml:space="preserve"> r46i1p1f1 </t>
  </si>
  <si>
    <t xml:space="preserve"> r47i1p1f1 </t>
  </si>
  <si>
    <t xml:space="preserve"> r48i1p1f1 </t>
  </si>
  <si>
    <t xml:space="preserve"> r49i1p1f1 </t>
  </si>
  <si>
    <t xml:space="preserve"> r50i1p1f1 </t>
  </si>
  <si>
    <t xml:space="preserve">r10i1p1f2 </t>
  </si>
  <si>
    <t xml:space="preserve"> r1i1p1f2 </t>
  </si>
  <si>
    <t xml:space="preserve"> r2i1p1f2 </t>
  </si>
  <si>
    <t xml:space="preserve"> r3i1p1f2 </t>
  </si>
  <si>
    <t xml:space="preserve"> r4i1p1f2 </t>
  </si>
  <si>
    <t xml:space="preserve"> r5i1p1f2 </t>
  </si>
  <si>
    <t xml:space="preserve"> r6i1p1f2 </t>
  </si>
  <si>
    <t xml:space="preserve"> r7i1p1f2 </t>
  </si>
  <si>
    <t xml:space="preserve"> r8i1p1f2 </t>
  </si>
  <si>
    <t xml:space="preserve"> r9i1p1f2</t>
  </si>
  <si>
    <t xml:space="preserve"> r11i1p1f2 </t>
  </si>
  <si>
    <t xml:space="preserve"> r12i1p1f2 </t>
  </si>
  <si>
    <t xml:space="preserve"> r13i1p1f2 </t>
  </si>
  <si>
    <t xml:space="preserve"> r14i1p1f2 </t>
  </si>
  <si>
    <t xml:space="preserve"> r15i1p1f2 </t>
  </si>
  <si>
    <t xml:space="preserve"> r16i1p1f2 </t>
  </si>
  <si>
    <t xml:space="preserve"> r17i1p1f2 </t>
  </si>
  <si>
    <t xml:space="preserve"> r18i1p1f2 </t>
  </si>
  <si>
    <t xml:space="preserve"> r19i1p1f2 </t>
  </si>
  <si>
    <t>Missing Var</t>
  </si>
  <si>
    <t>No Wind</t>
  </si>
  <si>
    <t>No tasmax</t>
  </si>
  <si>
    <t>No Wind and no tasmax</t>
  </si>
  <si>
    <t>No SSP370</t>
  </si>
  <si>
    <t>Not sure why there is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</si>
</sst>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8ABF-2F34-4E33-8276-26A8535D568C}">
  <dimension ref="A1:BJ20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1" max="1" width="18.21875" bestFit="1" customWidth="1"/>
    <col min="2" max="2" width="21.33203125" bestFit="1" customWidth="1"/>
    <col min="3" max="3" width="21.33203125" customWidth="1"/>
    <col min="4" max="4" width="6.77734375" bestFit="1" customWidth="1"/>
  </cols>
  <sheetData>
    <row r="1" spans="1:62" ht="15" thickBot="1" x14ac:dyDescent="0.35">
      <c r="A1" s="1" t="s">
        <v>108</v>
      </c>
      <c r="B1" s="1" t="s">
        <v>109</v>
      </c>
      <c r="C1" s="1" t="s">
        <v>192</v>
      </c>
      <c r="D1" s="1" t="s">
        <v>89</v>
      </c>
      <c r="E1" s="1" t="s">
        <v>19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62" x14ac:dyDescent="0.3">
      <c r="A2" t="s">
        <v>1</v>
      </c>
      <c r="B2" t="s">
        <v>1</v>
      </c>
      <c r="D2">
        <f>COUNTA(E2:BJ2)</f>
        <v>3</v>
      </c>
      <c r="E2" t="s">
        <v>21</v>
      </c>
      <c r="F2" t="s">
        <v>22</v>
      </c>
      <c r="G2" t="s">
        <v>23</v>
      </c>
    </row>
    <row r="3" spans="1:62" x14ac:dyDescent="0.3">
      <c r="A3" t="s">
        <v>2</v>
      </c>
      <c r="B3" t="s">
        <v>2</v>
      </c>
      <c r="D3">
        <f t="shared" ref="D3:D19" si="0">COUNTA(E3:BJ3)</f>
        <v>1</v>
      </c>
      <c r="E3" t="s">
        <v>21</v>
      </c>
    </row>
    <row r="4" spans="1:62" x14ac:dyDescent="0.3">
      <c r="A4" t="s">
        <v>3</v>
      </c>
      <c r="B4" t="s">
        <v>3</v>
      </c>
      <c r="D4">
        <f t="shared" si="0"/>
        <v>3</v>
      </c>
      <c r="E4" t="s">
        <v>24</v>
      </c>
      <c r="F4" t="s">
        <v>25</v>
      </c>
      <c r="G4" t="s">
        <v>26</v>
      </c>
    </row>
    <row r="5" spans="1:62" x14ac:dyDescent="0.3">
      <c r="A5" t="s">
        <v>4</v>
      </c>
      <c r="B5" t="s">
        <v>4</v>
      </c>
      <c r="C5" t="s">
        <v>194</v>
      </c>
      <c r="D5">
        <f t="shared" si="0"/>
        <v>0</v>
      </c>
    </row>
    <row r="6" spans="1:62" x14ac:dyDescent="0.3">
      <c r="A6" t="s">
        <v>93</v>
      </c>
      <c r="B6" t="s">
        <v>93</v>
      </c>
      <c r="C6" t="s">
        <v>195</v>
      </c>
      <c r="D6">
        <f t="shared" si="0"/>
        <v>0</v>
      </c>
    </row>
    <row r="7" spans="1:62" x14ac:dyDescent="0.3">
      <c r="A7" t="s">
        <v>6</v>
      </c>
      <c r="B7" t="s">
        <v>6</v>
      </c>
      <c r="C7" t="s">
        <v>194</v>
      </c>
      <c r="D7">
        <f t="shared" si="0"/>
        <v>0</v>
      </c>
    </row>
    <row r="8" spans="1:62" x14ac:dyDescent="0.3">
      <c r="A8" t="s">
        <v>7</v>
      </c>
      <c r="B8" t="s">
        <v>7</v>
      </c>
      <c r="C8" t="s">
        <v>195</v>
      </c>
      <c r="D8">
        <f t="shared" si="0"/>
        <v>0</v>
      </c>
    </row>
    <row r="9" spans="1:62" x14ac:dyDescent="0.3">
      <c r="A9" t="s">
        <v>8</v>
      </c>
      <c r="B9" t="s">
        <v>8</v>
      </c>
      <c r="D9">
        <f t="shared" si="0"/>
        <v>58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41</v>
      </c>
      <c r="T9" t="s">
        <v>42</v>
      </c>
      <c r="U9" t="s">
        <v>43</v>
      </c>
      <c r="V9" t="s">
        <v>44</v>
      </c>
      <c r="W9" t="s">
        <v>45</v>
      </c>
      <c r="X9" t="s">
        <v>25</v>
      </c>
      <c r="Y9" t="s">
        <v>46</v>
      </c>
      <c r="Z9" t="s">
        <v>47</v>
      </c>
      <c r="AA9" t="s">
        <v>48</v>
      </c>
      <c r="AB9" t="s">
        <v>49</v>
      </c>
      <c r="AC9" t="s">
        <v>50</v>
      </c>
      <c r="AD9" t="s">
        <v>51</v>
      </c>
      <c r="AE9" t="s">
        <v>52</v>
      </c>
      <c r="AF9" t="s">
        <v>53</v>
      </c>
      <c r="AG9" t="s">
        <v>54</v>
      </c>
      <c r="AH9" t="s">
        <v>55</v>
      </c>
      <c r="AI9" t="s">
        <v>56</v>
      </c>
      <c r="AJ9" t="s">
        <v>57</v>
      </c>
      <c r="AK9" t="s">
        <v>58</v>
      </c>
      <c r="AL9" t="s">
        <v>59</v>
      </c>
      <c r="AM9" t="s">
        <v>60</v>
      </c>
      <c r="AN9" t="s">
        <v>61</v>
      </c>
      <c r="AO9" t="s">
        <v>62</v>
      </c>
      <c r="AP9" t="s">
        <v>63</v>
      </c>
      <c r="AQ9" t="s">
        <v>64</v>
      </c>
      <c r="AR9" t="s">
        <v>65</v>
      </c>
      <c r="AS9" t="s">
        <v>66</v>
      </c>
      <c r="AT9" t="s">
        <v>67</v>
      </c>
      <c r="AU9" t="s">
        <v>68</v>
      </c>
      <c r="AV9" t="s">
        <v>69</v>
      </c>
      <c r="AW9" t="s">
        <v>70</v>
      </c>
      <c r="AX9" t="s">
        <v>71</v>
      </c>
      <c r="AY9" t="s">
        <v>72</v>
      </c>
      <c r="AZ9" t="s">
        <v>73</v>
      </c>
      <c r="BA9" t="s">
        <v>74</v>
      </c>
      <c r="BB9" t="s">
        <v>75</v>
      </c>
      <c r="BC9" t="s">
        <v>76</v>
      </c>
      <c r="BD9" t="s">
        <v>77</v>
      </c>
      <c r="BE9" t="s">
        <v>78</v>
      </c>
      <c r="BF9" t="s">
        <v>79</v>
      </c>
      <c r="BG9" t="s">
        <v>22</v>
      </c>
      <c r="BH9" t="s">
        <v>80</v>
      </c>
      <c r="BI9" t="s">
        <v>81</v>
      </c>
      <c r="BJ9" t="s">
        <v>82</v>
      </c>
    </row>
    <row r="10" spans="1:62" x14ac:dyDescent="0.3">
      <c r="A10" t="s">
        <v>9</v>
      </c>
      <c r="B10" t="s">
        <v>9</v>
      </c>
      <c r="D10">
        <f t="shared" si="0"/>
        <v>1</v>
      </c>
      <c r="E10" t="s">
        <v>21</v>
      </c>
    </row>
    <row r="11" spans="1:62" x14ac:dyDescent="0.3">
      <c r="A11" t="s">
        <v>10</v>
      </c>
      <c r="B11" t="s">
        <v>10</v>
      </c>
      <c r="C11" t="s">
        <v>196</v>
      </c>
      <c r="D11">
        <f t="shared" si="0"/>
        <v>0</v>
      </c>
    </row>
    <row r="12" spans="1:62" x14ac:dyDescent="0.3">
      <c r="A12" t="s">
        <v>11</v>
      </c>
      <c r="B12" t="s">
        <v>11</v>
      </c>
      <c r="D12">
        <f t="shared" si="0"/>
        <v>1</v>
      </c>
      <c r="E12" t="s">
        <v>21</v>
      </c>
    </row>
    <row r="13" spans="1:62" x14ac:dyDescent="0.3">
      <c r="A13" t="s">
        <v>97</v>
      </c>
      <c r="B13" t="s">
        <v>97</v>
      </c>
      <c r="C13" t="s">
        <v>196</v>
      </c>
      <c r="D13">
        <f t="shared" si="0"/>
        <v>0</v>
      </c>
    </row>
    <row r="14" spans="1:62" x14ac:dyDescent="0.3">
      <c r="A14" t="s">
        <v>98</v>
      </c>
      <c r="B14" t="s">
        <v>98</v>
      </c>
      <c r="C14" t="s">
        <v>196</v>
      </c>
      <c r="D14">
        <f t="shared" si="0"/>
        <v>0</v>
      </c>
    </row>
    <row r="15" spans="1:62" x14ac:dyDescent="0.3">
      <c r="A15" t="s">
        <v>16</v>
      </c>
      <c r="B15" t="s">
        <v>16</v>
      </c>
      <c r="D15">
        <f t="shared" si="0"/>
        <v>3</v>
      </c>
      <c r="E15" t="s">
        <v>21</v>
      </c>
      <c r="F15" t="s">
        <v>83</v>
      </c>
      <c r="G15" t="s">
        <v>87</v>
      </c>
    </row>
    <row r="16" spans="1:62" x14ac:dyDescent="0.3">
      <c r="A16" t="s">
        <v>14</v>
      </c>
      <c r="B16" t="s">
        <v>14</v>
      </c>
      <c r="D16">
        <f t="shared" si="0"/>
        <v>10</v>
      </c>
      <c r="E16" t="s">
        <v>24</v>
      </c>
      <c r="F16" t="s">
        <v>79</v>
      </c>
      <c r="G16" t="s">
        <v>83</v>
      </c>
      <c r="H16" t="s">
        <v>84</v>
      </c>
      <c r="I16" t="s">
        <v>22</v>
      </c>
      <c r="J16" t="s">
        <v>80</v>
      </c>
      <c r="K16" t="s">
        <v>81</v>
      </c>
      <c r="L16" t="s">
        <v>85</v>
      </c>
      <c r="M16" t="s">
        <v>86</v>
      </c>
      <c r="N16" t="s">
        <v>82</v>
      </c>
    </row>
    <row r="17" spans="1:23" x14ac:dyDescent="0.3">
      <c r="A17" t="s">
        <v>15</v>
      </c>
      <c r="B17" t="s">
        <v>15</v>
      </c>
      <c r="D17">
        <f t="shared" si="0"/>
        <v>5</v>
      </c>
      <c r="E17" t="s">
        <v>21</v>
      </c>
      <c r="F17" t="s">
        <v>83</v>
      </c>
      <c r="G17" t="s">
        <v>84</v>
      </c>
      <c r="H17" t="s">
        <v>22</v>
      </c>
      <c r="I17" t="s">
        <v>23</v>
      </c>
    </row>
    <row r="18" spans="1:23" x14ac:dyDescent="0.3">
      <c r="A18" t="s">
        <v>106</v>
      </c>
      <c r="B18" t="s">
        <v>106</v>
      </c>
      <c r="D18">
        <f t="shared" si="0"/>
        <v>1</v>
      </c>
      <c r="E18" t="s">
        <v>21</v>
      </c>
    </row>
    <row r="19" spans="1:23" ht="15" thickBot="1" x14ac:dyDescent="0.35">
      <c r="A19" s="2" t="s">
        <v>107</v>
      </c>
      <c r="B19" s="2" t="s">
        <v>107</v>
      </c>
      <c r="C19" s="2"/>
      <c r="D19" s="1">
        <f t="shared" si="0"/>
        <v>19</v>
      </c>
      <c r="E19" s="1" t="s">
        <v>173</v>
      </c>
      <c r="F19" s="2" t="s">
        <v>183</v>
      </c>
      <c r="G19" s="2" t="s">
        <v>184</v>
      </c>
      <c r="H19" s="2" t="s">
        <v>185</v>
      </c>
      <c r="I19" s="2" t="s">
        <v>186</v>
      </c>
      <c r="J19" s="2" t="s">
        <v>187</v>
      </c>
      <c r="K19" s="2" t="s">
        <v>188</v>
      </c>
      <c r="L19" s="2" t="s">
        <v>189</v>
      </c>
      <c r="M19" s="2" t="s">
        <v>190</v>
      </c>
      <c r="N19" s="2" t="s">
        <v>191</v>
      </c>
      <c r="O19" s="2" t="s">
        <v>174</v>
      </c>
      <c r="P19" s="2" t="s">
        <v>175</v>
      </c>
      <c r="Q19" s="2" t="s">
        <v>176</v>
      </c>
      <c r="R19" s="2" t="s">
        <v>177</v>
      </c>
      <c r="S19" s="2" t="s">
        <v>178</v>
      </c>
      <c r="T19" t="s">
        <v>179</v>
      </c>
      <c r="U19" t="s">
        <v>180</v>
      </c>
      <c r="V19" t="s">
        <v>181</v>
      </c>
      <c r="W19" t="s">
        <v>182</v>
      </c>
    </row>
    <row r="20" spans="1:23" x14ac:dyDescent="0.3">
      <c r="B20" t="s">
        <v>88</v>
      </c>
      <c r="D20">
        <f>SUM(D2:D19)</f>
        <v>105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418C-A413-4B8D-A29F-28EF5AD86E54}">
  <dimension ref="A1:BJ33"/>
  <sheetViews>
    <sheetView workbookViewId="0">
      <selection activeCell="C16" sqref="C16"/>
    </sheetView>
  </sheetViews>
  <sheetFormatPr baseColWidth="10" defaultColWidth="8.88671875" defaultRowHeight="14.4" x14ac:dyDescent="0.3"/>
  <cols>
    <col min="1" max="1" width="18.21875" bestFit="1" customWidth="1"/>
    <col min="2" max="2" width="21.33203125" bestFit="1" customWidth="1"/>
    <col min="3" max="3" width="20.5546875" bestFit="1" customWidth="1"/>
    <col min="4" max="4" width="6.77734375" bestFit="1" customWidth="1"/>
  </cols>
  <sheetData>
    <row r="1" spans="1:62" ht="15" thickBot="1" x14ac:dyDescent="0.35">
      <c r="A1" s="1" t="s">
        <v>108</v>
      </c>
      <c r="B1" s="1" t="s">
        <v>109</v>
      </c>
      <c r="C1" s="1" t="s">
        <v>192</v>
      </c>
      <c r="D1" s="1" t="s">
        <v>89</v>
      </c>
      <c r="E1" s="1" t="s">
        <v>19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62" x14ac:dyDescent="0.3">
      <c r="A2" t="s">
        <v>1</v>
      </c>
      <c r="B2" t="s">
        <v>1</v>
      </c>
      <c r="D2">
        <f>COUNTA(E2:BJ2)</f>
        <v>3</v>
      </c>
      <c r="E2" t="s">
        <v>21</v>
      </c>
      <c r="F2" t="s">
        <v>22</v>
      </c>
      <c r="G2" t="s">
        <v>23</v>
      </c>
    </row>
    <row r="3" spans="1:62" x14ac:dyDescent="0.3">
      <c r="A3" t="s">
        <v>90</v>
      </c>
      <c r="D3">
        <f t="shared" ref="D3:D32" si="0">COUNTA(E3:BJ3)</f>
        <v>40</v>
      </c>
      <c r="E3" t="s">
        <v>24</v>
      </c>
      <c r="F3" t="s">
        <v>25</v>
      </c>
      <c r="G3" t="s">
        <v>110</v>
      </c>
      <c r="H3" t="s">
        <v>66</v>
      </c>
      <c r="I3" t="s">
        <v>111</v>
      </c>
      <c r="J3" t="s">
        <v>78</v>
      </c>
      <c r="K3" t="s">
        <v>112</v>
      </c>
      <c r="L3" t="s">
        <v>113</v>
      </c>
      <c r="M3" t="s">
        <v>114</v>
      </c>
      <c r="N3" t="s">
        <v>115</v>
      </c>
      <c r="O3" t="s">
        <v>79</v>
      </c>
      <c r="P3" t="s">
        <v>116</v>
      </c>
      <c r="Q3" t="s">
        <v>117</v>
      </c>
      <c r="R3" t="s">
        <v>118</v>
      </c>
      <c r="S3" t="s">
        <v>119</v>
      </c>
      <c r="T3" t="s">
        <v>120</v>
      </c>
      <c r="U3" t="s">
        <v>121</v>
      </c>
      <c r="V3" t="s">
        <v>122</v>
      </c>
      <c r="W3" t="s">
        <v>123</v>
      </c>
      <c r="X3" t="s">
        <v>124</v>
      </c>
      <c r="Y3" t="s">
        <v>125</v>
      </c>
      <c r="Z3" t="s">
        <v>83</v>
      </c>
      <c r="AA3" t="s">
        <v>126</v>
      </c>
      <c r="AB3" t="s">
        <v>127</v>
      </c>
      <c r="AC3" t="s">
        <v>128</v>
      </c>
      <c r="AD3" t="s">
        <v>129</v>
      </c>
      <c r="AE3" t="s">
        <v>130</v>
      </c>
      <c r="AF3" t="s">
        <v>131</v>
      </c>
      <c r="AG3" t="s">
        <v>132</v>
      </c>
      <c r="AH3" t="s">
        <v>133</v>
      </c>
      <c r="AI3" t="s">
        <v>134</v>
      </c>
      <c r="AJ3" t="s">
        <v>135</v>
      </c>
      <c r="AK3" t="s">
        <v>84</v>
      </c>
      <c r="AL3" t="s">
        <v>136</v>
      </c>
      <c r="AM3" t="s">
        <v>22</v>
      </c>
      <c r="AN3" t="s">
        <v>80</v>
      </c>
      <c r="AO3" t="s">
        <v>81</v>
      </c>
      <c r="AP3" t="s">
        <v>85</v>
      </c>
      <c r="AQ3" t="s">
        <v>86</v>
      </c>
      <c r="AR3" t="s">
        <v>82</v>
      </c>
    </row>
    <row r="4" spans="1:62" x14ac:dyDescent="0.3">
      <c r="A4" t="s">
        <v>2</v>
      </c>
      <c r="B4" t="s">
        <v>2</v>
      </c>
      <c r="D4">
        <f t="shared" si="0"/>
        <v>1</v>
      </c>
      <c r="E4" t="s">
        <v>21</v>
      </c>
    </row>
    <row r="5" spans="1:62" x14ac:dyDescent="0.3">
      <c r="A5" t="s">
        <v>91</v>
      </c>
      <c r="C5" t="s">
        <v>193</v>
      </c>
      <c r="D5">
        <f t="shared" si="0"/>
        <v>0</v>
      </c>
    </row>
    <row r="6" spans="1:62" x14ac:dyDescent="0.3">
      <c r="A6" t="s">
        <v>92</v>
      </c>
      <c r="D6">
        <f t="shared" si="0"/>
        <v>50</v>
      </c>
      <c r="E6" t="s">
        <v>24</v>
      </c>
      <c r="F6" t="s">
        <v>137</v>
      </c>
      <c r="G6" t="s">
        <v>25</v>
      </c>
      <c r="H6" t="s">
        <v>138</v>
      </c>
      <c r="I6" t="s">
        <v>110</v>
      </c>
      <c r="J6" t="s">
        <v>139</v>
      </c>
      <c r="K6" t="s">
        <v>66</v>
      </c>
      <c r="L6" t="s">
        <v>140</v>
      </c>
      <c r="M6" t="s">
        <v>111</v>
      </c>
      <c r="N6" t="s">
        <v>141</v>
      </c>
      <c r="O6" t="s">
        <v>78</v>
      </c>
      <c r="P6" t="s">
        <v>142</v>
      </c>
      <c r="Q6" t="s">
        <v>112</v>
      </c>
      <c r="R6" t="s">
        <v>143</v>
      </c>
      <c r="S6" t="s">
        <v>113</v>
      </c>
      <c r="T6" t="s">
        <v>144</v>
      </c>
      <c r="U6" t="s">
        <v>114</v>
      </c>
      <c r="V6" t="s">
        <v>145</v>
      </c>
      <c r="W6" t="s">
        <v>115</v>
      </c>
      <c r="X6" t="s">
        <v>146</v>
      </c>
      <c r="Y6" t="s">
        <v>79</v>
      </c>
      <c r="Z6" t="s">
        <v>147</v>
      </c>
      <c r="AA6" t="s">
        <v>116</v>
      </c>
      <c r="AB6" t="s">
        <v>148</v>
      </c>
      <c r="AC6" t="s">
        <v>117</v>
      </c>
      <c r="AD6" t="s">
        <v>149</v>
      </c>
      <c r="AE6" t="s">
        <v>118</v>
      </c>
      <c r="AF6" t="s">
        <v>150</v>
      </c>
      <c r="AG6" t="s">
        <v>119</v>
      </c>
      <c r="AH6" t="s">
        <v>151</v>
      </c>
      <c r="AI6" t="s">
        <v>120</v>
      </c>
      <c r="AJ6" t="s">
        <v>152</v>
      </c>
      <c r="AK6" t="s">
        <v>121</v>
      </c>
      <c r="AL6" t="s">
        <v>153</v>
      </c>
      <c r="AM6" t="s">
        <v>83</v>
      </c>
      <c r="AN6" t="s">
        <v>154</v>
      </c>
      <c r="AO6" t="s">
        <v>84</v>
      </c>
      <c r="AP6" t="s">
        <v>155</v>
      </c>
      <c r="AQ6" t="s">
        <v>22</v>
      </c>
      <c r="AR6" t="s">
        <v>156</v>
      </c>
      <c r="AS6" t="s">
        <v>80</v>
      </c>
      <c r="AT6" t="s">
        <v>157</v>
      </c>
      <c r="AU6" t="s">
        <v>81</v>
      </c>
      <c r="AV6" t="s">
        <v>158</v>
      </c>
      <c r="AW6" t="s">
        <v>85</v>
      </c>
      <c r="AX6" t="s">
        <v>159</v>
      </c>
      <c r="AY6" t="s">
        <v>86</v>
      </c>
      <c r="AZ6" t="s">
        <v>160</v>
      </c>
      <c r="BA6" t="s">
        <v>161</v>
      </c>
      <c r="BB6" t="s">
        <v>162</v>
      </c>
    </row>
    <row r="7" spans="1:62" x14ac:dyDescent="0.3">
      <c r="A7" t="s">
        <v>3</v>
      </c>
      <c r="B7" t="s">
        <v>3</v>
      </c>
      <c r="D7">
        <f t="shared" si="0"/>
        <v>3</v>
      </c>
      <c r="E7" t="s">
        <v>24</v>
      </c>
      <c r="F7" t="s">
        <v>25</v>
      </c>
      <c r="G7" t="s">
        <v>26</v>
      </c>
    </row>
    <row r="8" spans="1:62" x14ac:dyDescent="0.3">
      <c r="A8" t="s">
        <v>4</v>
      </c>
      <c r="B8" t="s">
        <v>4</v>
      </c>
      <c r="C8" t="s">
        <v>194</v>
      </c>
      <c r="D8">
        <f t="shared" si="0"/>
        <v>0</v>
      </c>
    </row>
    <row r="9" spans="1:62" x14ac:dyDescent="0.3">
      <c r="A9" t="s">
        <v>93</v>
      </c>
      <c r="B9" t="s">
        <v>93</v>
      </c>
      <c r="C9" t="s">
        <v>195</v>
      </c>
      <c r="D9">
        <f t="shared" si="0"/>
        <v>0</v>
      </c>
    </row>
    <row r="10" spans="1:62" x14ac:dyDescent="0.3">
      <c r="A10" t="s">
        <v>6</v>
      </c>
      <c r="B10" t="s">
        <v>6</v>
      </c>
      <c r="C10" t="s">
        <v>194</v>
      </c>
      <c r="D10">
        <f t="shared" si="0"/>
        <v>0</v>
      </c>
    </row>
    <row r="11" spans="1:62" x14ac:dyDescent="0.3">
      <c r="A11" t="s">
        <v>7</v>
      </c>
      <c r="B11" t="s">
        <v>7</v>
      </c>
      <c r="C11" t="s">
        <v>195</v>
      </c>
      <c r="D11">
        <f t="shared" si="0"/>
        <v>0</v>
      </c>
    </row>
    <row r="12" spans="1:62" x14ac:dyDescent="0.3">
      <c r="A12" t="s">
        <v>8</v>
      </c>
      <c r="B12" t="s">
        <v>8</v>
      </c>
      <c r="D12">
        <f t="shared" si="0"/>
        <v>58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t="s">
        <v>37</v>
      </c>
      <c r="P12" t="s">
        <v>38</v>
      </c>
      <c r="Q12" t="s">
        <v>39</v>
      </c>
      <c r="R12" t="s">
        <v>40</v>
      </c>
      <c r="S12" t="s">
        <v>41</v>
      </c>
      <c r="T12" t="s">
        <v>42</v>
      </c>
      <c r="U12" t="s">
        <v>43</v>
      </c>
      <c r="V12" t="s">
        <v>44</v>
      </c>
      <c r="W12" t="s">
        <v>45</v>
      </c>
      <c r="X12" t="s">
        <v>25</v>
      </c>
      <c r="Y12" t="s">
        <v>46</v>
      </c>
      <c r="Z12" t="s">
        <v>47</v>
      </c>
      <c r="AA12" t="s">
        <v>48</v>
      </c>
      <c r="AB12" t="s">
        <v>49</v>
      </c>
      <c r="AC12" t="s">
        <v>50</v>
      </c>
      <c r="AD12" t="s">
        <v>51</v>
      </c>
      <c r="AE12" t="s">
        <v>52</v>
      </c>
      <c r="AF12" t="s">
        <v>53</v>
      </c>
      <c r="AG12" t="s">
        <v>54</v>
      </c>
      <c r="AH12" t="s">
        <v>55</v>
      </c>
      <c r="AI12" t="s">
        <v>56</v>
      </c>
      <c r="AJ12" t="s">
        <v>57</v>
      </c>
      <c r="AK12" t="s">
        <v>58</v>
      </c>
      <c r="AL12" t="s">
        <v>59</v>
      </c>
      <c r="AM12" t="s">
        <v>60</v>
      </c>
      <c r="AN12" t="s">
        <v>61</v>
      </c>
      <c r="AO12" t="s">
        <v>62</v>
      </c>
      <c r="AP12" t="s">
        <v>63</v>
      </c>
      <c r="AQ12" t="s">
        <v>64</v>
      </c>
      <c r="AR12" t="s">
        <v>65</v>
      </c>
      <c r="AS12" t="s">
        <v>66</v>
      </c>
      <c r="AT12" t="s">
        <v>67</v>
      </c>
      <c r="AU12" t="s">
        <v>68</v>
      </c>
      <c r="AV12" t="s">
        <v>69</v>
      </c>
      <c r="AW12" t="s">
        <v>70</v>
      </c>
      <c r="AX12" t="s">
        <v>71</v>
      </c>
      <c r="AY12" t="s">
        <v>72</v>
      </c>
      <c r="AZ12" t="s">
        <v>73</v>
      </c>
      <c r="BA12" t="s">
        <v>74</v>
      </c>
      <c r="BB12" t="s">
        <v>75</v>
      </c>
      <c r="BC12" t="s">
        <v>76</v>
      </c>
      <c r="BD12" t="s">
        <v>77</v>
      </c>
      <c r="BE12" t="s">
        <v>78</v>
      </c>
      <c r="BF12" t="s">
        <v>79</v>
      </c>
      <c r="BG12" t="s">
        <v>22</v>
      </c>
      <c r="BH12" t="s">
        <v>80</v>
      </c>
      <c r="BI12" t="s">
        <v>81</v>
      </c>
      <c r="BJ12" t="s">
        <v>82</v>
      </c>
    </row>
    <row r="13" spans="1:62" x14ac:dyDescent="0.3">
      <c r="A13" t="s">
        <v>9</v>
      </c>
      <c r="B13" t="s">
        <v>9</v>
      </c>
      <c r="D13">
        <f t="shared" si="0"/>
        <v>1</v>
      </c>
      <c r="E13" t="s">
        <v>21</v>
      </c>
    </row>
    <row r="14" spans="1:62" x14ac:dyDescent="0.3">
      <c r="A14" t="s">
        <v>94</v>
      </c>
      <c r="C14" t="s">
        <v>197</v>
      </c>
      <c r="D14">
        <f t="shared" si="0"/>
        <v>0</v>
      </c>
    </row>
    <row r="15" spans="1:62" x14ac:dyDescent="0.3">
      <c r="A15" t="s">
        <v>95</v>
      </c>
      <c r="D15">
        <f t="shared" si="0"/>
        <v>5</v>
      </c>
      <c r="E15" t="s">
        <v>21</v>
      </c>
      <c r="F15" t="s">
        <v>83</v>
      </c>
      <c r="G15" t="s">
        <v>84</v>
      </c>
      <c r="H15" t="s">
        <v>22</v>
      </c>
      <c r="I15" t="s">
        <v>23</v>
      </c>
    </row>
    <row r="16" spans="1:62" x14ac:dyDescent="0.3">
      <c r="A16" t="s">
        <v>10</v>
      </c>
      <c r="B16" t="s">
        <v>10</v>
      </c>
      <c r="C16" t="s">
        <v>196</v>
      </c>
      <c r="D16">
        <f t="shared" si="0"/>
        <v>0</v>
      </c>
    </row>
    <row r="17" spans="1:54" x14ac:dyDescent="0.3">
      <c r="A17" t="s">
        <v>11</v>
      </c>
      <c r="B17" t="s">
        <v>11</v>
      </c>
      <c r="D17">
        <f t="shared" si="0"/>
        <v>1</v>
      </c>
      <c r="E17" t="s">
        <v>21</v>
      </c>
    </row>
    <row r="18" spans="1:54" x14ac:dyDescent="0.3">
      <c r="A18" t="s">
        <v>96</v>
      </c>
      <c r="C18" t="s">
        <v>195</v>
      </c>
      <c r="D18">
        <f t="shared" si="0"/>
        <v>0</v>
      </c>
    </row>
    <row r="19" spans="1:54" x14ac:dyDescent="0.3">
      <c r="A19" t="s">
        <v>97</v>
      </c>
      <c r="B19" t="s">
        <v>97</v>
      </c>
      <c r="C19" t="s">
        <v>196</v>
      </c>
      <c r="D19">
        <f t="shared" si="0"/>
        <v>0</v>
      </c>
    </row>
    <row r="20" spans="1:54" x14ac:dyDescent="0.3">
      <c r="A20" t="s">
        <v>98</v>
      </c>
      <c r="B20" t="s">
        <v>98</v>
      </c>
      <c r="C20" t="s">
        <v>196</v>
      </c>
      <c r="D20">
        <f t="shared" si="0"/>
        <v>0</v>
      </c>
    </row>
    <row r="21" spans="1:54" x14ac:dyDescent="0.3">
      <c r="A21" t="s">
        <v>99</v>
      </c>
      <c r="D21">
        <f t="shared" si="0"/>
        <v>1</v>
      </c>
      <c r="E21" t="s">
        <v>21</v>
      </c>
    </row>
    <row r="22" spans="1:54" x14ac:dyDescent="0.3">
      <c r="A22" t="s">
        <v>100</v>
      </c>
      <c r="D22">
        <f t="shared" si="0"/>
        <v>5</v>
      </c>
      <c r="E22" t="s">
        <v>21</v>
      </c>
      <c r="F22" t="s">
        <v>83</v>
      </c>
      <c r="G22" t="s">
        <v>84</v>
      </c>
      <c r="H22" t="s">
        <v>22</v>
      </c>
      <c r="I22" t="s">
        <v>23</v>
      </c>
    </row>
    <row r="23" spans="1:54" x14ac:dyDescent="0.3">
      <c r="A23" t="s">
        <v>101</v>
      </c>
      <c r="D23">
        <f t="shared" si="0"/>
        <v>11</v>
      </c>
      <c r="E23" t="s">
        <v>24</v>
      </c>
      <c r="F23" t="s">
        <v>111</v>
      </c>
      <c r="G23" t="s">
        <v>79</v>
      </c>
      <c r="H23" t="s">
        <v>83</v>
      </c>
      <c r="I23" t="s">
        <v>84</v>
      </c>
      <c r="J23" t="s">
        <v>22</v>
      </c>
      <c r="K23" t="s">
        <v>80</v>
      </c>
      <c r="L23" t="s">
        <v>81</v>
      </c>
      <c r="M23" t="s">
        <v>85</v>
      </c>
      <c r="N23" t="s">
        <v>86</v>
      </c>
      <c r="O23" t="s">
        <v>82</v>
      </c>
    </row>
    <row r="24" spans="1:54" x14ac:dyDescent="0.3">
      <c r="A24" t="s">
        <v>16</v>
      </c>
      <c r="B24" t="s">
        <v>16</v>
      </c>
      <c r="D24">
        <f t="shared" si="0"/>
        <v>3</v>
      </c>
      <c r="E24" t="s">
        <v>21</v>
      </c>
      <c r="F24" t="s">
        <v>83</v>
      </c>
      <c r="G24" t="s">
        <v>87</v>
      </c>
    </row>
    <row r="25" spans="1:54" x14ac:dyDescent="0.3">
      <c r="A25" t="s">
        <v>102</v>
      </c>
      <c r="D25">
        <f t="shared" si="0"/>
        <v>50</v>
      </c>
      <c r="E25" t="s">
        <v>24</v>
      </c>
      <c r="F25" t="s">
        <v>25</v>
      </c>
      <c r="G25" t="s">
        <v>110</v>
      </c>
      <c r="H25" t="s">
        <v>66</v>
      </c>
      <c r="I25" t="s">
        <v>111</v>
      </c>
      <c r="J25" t="s">
        <v>78</v>
      </c>
      <c r="K25" t="s">
        <v>112</v>
      </c>
      <c r="L25" t="s">
        <v>113</v>
      </c>
      <c r="M25" t="s">
        <v>114</v>
      </c>
      <c r="N25" t="s">
        <v>115</v>
      </c>
      <c r="O25" t="s">
        <v>79</v>
      </c>
      <c r="P25" t="s">
        <v>116</v>
      </c>
      <c r="Q25" t="s">
        <v>117</v>
      </c>
      <c r="R25" t="s">
        <v>118</v>
      </c>
      <c r="S25" t="s">
        <v>119</v>
      </c>
      <c r="T25" t="s">
        <v>120</v>
      </c>
      <c r="U25" t="s">
        <v>121</v>
      </c>
      <c r="V25" t="s">
        <v>122</v>
      </c>
      <c r="W25" t="s">
        <v>123</v>
      </c>
      <c r="X25" t="s">
        <v>124</v>
      </c>
      <c r="Y25" t="s">
        <v>125</v>
      </c>
      <c r="Z25" t="s">
        <v>83</v>
      </c>
      <c r="AA25" t="s">
        <v>126</v>
      </c>
      <c r="AB25" t="s">
        <v>127</v>
      </c>
      <c r="AC25" t="s">
        <v>128</v>
      </c>
      <c r="AD25" t="s">
        <v>129</v>
      </c>
      <c r="AE25" t="s">
        <v>130</v>
      </c>
      <c r="AF25" t="s">
        <v>131</v>
      </c>
      <c r="AG25" t="s">
        <v>132</v>
      </c>
      <c r="AH25" t="s">
        <v>133</v>
      </c>
      <c r="AI25" t="s">
        <v>134</v>
      </c>
      <c r="AJ25" t="s">
        <v>135</v>
      </c>
      <c r="AK25" t="s">
        <v>84</v>
      </c>
      <c r="AL25" t="s">
        <v>136</v>
      </c>
      <c r="AM25" t="s">
        <v>163</v>
      </c>
      <c r="AN25" t="s">
        <v>164</v>
      </c>
      <c r="AO25" t="s">
        <v>165</v>
      </c>
      <c r="AP25" t="s">
        <v>166</v>
      </c>
      <c r="AQ25" t="s">
        <v>167</v>
      </c>
      <c r="AR25" t="s">
        <v>168</v>
      </c>
      <c r="AS25" t="s">
        <v>169</v>
      </c>
      <c r="AT25" t="s">
        <v>170</v>
      </c>
      <c r="AU25" t="s">
        <v>171</v>
      </c>
      <c r="AV25" t="s">
        <v>22</v>
      </c>
      <c r="AW25" t="s">
        <v>172</v>
      </c>
      <c r="AX25" t="s">
        <v>80</v>
      </c>
      <c r="AY25" t="s">
        <v>81</v>
      </c>
      <c r="AZ25" t="s">
        <v>85</v>
      </c>
      <c r="BA25" t="s">
        <v>86</v>
      </c>
      <c r="BB25" t="s">
        <v>82</v>
      </c>
    </row>
    <row r="26" spans="1:54" x14ac:dyDescent="0.3">
      <c r="A26" t="s">
        <v>103</v>
      </c>
      <c r="D26">
        <f t="shared" si="0"/>
        <v>10</v>
      </c>
      <c r="E26" t="s">
        <v>173</v>
      </c>
      <c r="F26" t="s">
        <v>174</v>
      </c>
      <c r="G26" t="s">
        <v>175</v>
      </c>
      <c r="H26" t="s">
        <v>176</v>
      </c>
      <c r="I26" t="s">
        <v>177</v>
      </c>
      <c r="J26" t="s">
        <v>178</v>
      </c>
      <c r="K26" t="s">
        <v>179</v>
      </c>
      <c r="L26" t="s">
        <v>180</v>
      </c>
      <c r="M26" t="s">
        <v>181</v>
      </c>
      <c r="N26" t="s">
        <v>182</v>
      </c>
    </row>
    <row r="27" spans="1:54" x14ac:dyDescent="0.3">
      <c r="A27" t="s">
        <v>14</v>
      </c>
      <c r="B27" t="s">
        <v>14</v>
      </c>
      <c r="D27">
        <f t="shared" si="0"/>
        <v>10</v>
      </c>
      <c r="E27" t="s">
        <v>24</v>
      </c>
      <c r="F27" t="s">
        <v>79</v>
      </c>
      <c r="G27" t="s">
        <v>83</v>
      </c>
      <c r="H27" t="s">
        <v>84</v>
      </c>
      <c r="I27" t="s">
        <v>22</v>
      </c>
      <c r="J27" t="s">
        <v>80</v>
      </c>
      <c r="K27" t="s">
        <v>81</v>
      </c>
      <c r="L27" t="s">
        <v>85</v>
      </c>
      <c r="M27" t="s">
        <v>86</v>
      </c>
      <c r="N27" t="s">
        <v>82</v>
      </c>
    </row>
    <row r="28" spans="1:54" x14ac:dyDescent="0.3">
      <c r="A28" t="s">
        <v>15</v>
      </c>
      <c r="B28" t="s">
        <v>15</v>
      </c>
      <c r="D28">
        <f t="shared" si="0"/>
        <v>5</v>
      </c>
      <c r="E28" t="s">
        <v>21</v>
      </c>
      <c r="F28" t="s">
        <v>83</v>
      </c>
      <c r="G28" t="s">
        <v>84</v>
      </c>
      <c r="H28" t="s">
        <v>22</v>
      </c>
      <c r="I28" t="s">
        <v>23</v>
      </c>
    </row>
    <row r="29" spans="1:54" x14ac:dyDescent="0.3">
      <c r="A29" t="s">
        <v>104</v>
      </c>
      <c r="C29" t="s">
        <v>196</v>
      </c>
      <c r="D29">
        <f t="shared" si="0"/>
        <v>0</v>
      </c>
    </row>
    <row r="30" spans="1:54" x14ac:dyDescent="0.3">
      <c r="A30" t="s">
        <v>105</v>
      </c>
      <c r="D30">
        <f t="shared" si="0"/>
        <v>3</v>
      </c>
      <c r="E30" t="s">
        <v>21</v>
      </c>
      <c r="F30" t="s">
        <v>83</v>
      </c>
      <c r="G30" t="s">
        <v>87</v>
      </c>
    </row>
    <row r="31" spans="1:54" x14ac:dyDescent="0.3">
      <c r="A31" t="s">
        <v>106</v>
      </c>
      <c r="B31" t="s">
        <v>106</v>
      </c>
      <c r="D31">
        <f t="shared" si="0"/>
        <v>1</v>
      </c>
      <c r="E31" t="s">
        <v>21</v>
      </c>
    </row>
    <row r="32" spans="1:54" ht="15" thickBot="1" x14ac:dyDescent="0.35">
      <c r="A32" s="2" t="s">
        <v>107</v>
      </c>
      <c r="B32" s="2" t="s">
        <v>107</v>
      </c>
      <c r="C32" s="2"/>
      <c r="D32" s="1">
        <f t="shared" si="0"/>
        <v>19</v>
      </c>
      <c r="E32" s="1" t="s">
        <v>173</v>
      </c>
      <c r="F32" s="2" t="s">
        <v>183</v>
      </c>
      <c r="G32" s="2" t="s">
        <v>184</v>
      </c>
      <c r="H32" s="2" t="s">
        <v>185</v>
      </c>
      <c r="I32" s="2" t="s">
        <v>186</v>
      </c>
      <c r="J32" s="2" t="s">
        <v>187</v>
      </c>
      <c r="K32" s="2" t="s">
        <v>188</v>
      </c>
      <c r="L32" s="2" t="s">
        <v>189</v>
      </c>
      <c r="M32" s="2" t="s">
        <v>190</v>
      </c>
      <c r="N32" s="2" t="s">
        <v>191</v>
      </c>
      <c r="O32" s="2" t="s">
        <v>174</v>
      </c>
      <c r="P32" s="2" t="s">
        <v>175</v>
      </c>
      <c r="Q32" s="2" t="s">
        <v>176</v>
      </c>
      <c r="R32" s="2" t="s">
        <v>177</v>
      </c>
      <c r="S32" s="2" t="s">
        <v>178</v>
      </c>
      <c r="T32" t="s">
        <v>179</v>
      </c>
      <c r="U32" t="s">
        <v>180</v>
      </c>
      <c r="V32" t="s">
        <v>181</v>
      </c>
      <c r="W32" t="s">
        <v>182</v>
      </c>
    </row>
    <row r="33" spans="2:4" x14ac:dyDescent="0.3">
      <c r="B33" t="s">
        <v>88</v>
      </c>
      <c r="D33">
        <f>SUM(D2:D32)</f>
        <v>280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0"/>
  <sheetViews>
    <sheetView workbookViewId="0">
      <selection activeCell="B23" sqref="B23"/>
    </sheetView>
  </sheetViews>
  <sheetFormatPr baseColWidth="10" defaultColWidth="8.88671875" defaultRowHeight="14.4" x14ac:dyDescent="0.3"/>
  <cols>
    <col min="2" max="2" width="21.33203125" bestFit="1" customWidth="1"/>
    <col min="3" max="3" width="6.77734375" bestFit="1" customWidth="1"/>
  </cols>
  <sheetData>
    <row r="1" spans="1:61" ht="15" thickBot="1" x14ac:dyDescent="0.35">
      <c r="A1" s="1"/>
      <c r="B1" s="1" t="s">
        <v>0</v>
      </c>
      <c r="C1" s="1" t="s">
        <v>89</v>
      </c>
      <c r="D1" s="1" t="s">
        <v>19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61" x14ac:dyDescent="0.3">
      <c r="B2" t="s">
        <v>1</v>
      </c>
      <c r="C2">
        <f>COUNTA(D2:BI2)</f>
        <v>3</v>
      </c>
      <c r="D2" t="s">
        <v>21</v>
      </c>
      <c r="E2" t="s">
        <v>22</v>
      </c>
      <c r="F2" t="s">
        <v>23</v>
      </c>
    </row>
    <row r="3" spans="1:61" x14ac:dyDescent="0.3">
      <c r="B3" t="s">
        <v>2</v>
      </c>
      <c r="C3">
        <f t="shared" ref="C3:C19" si="0">COUNTA(D3:BI3)</f>
        <v>1</v>
      </c>
      <c r="D3" t="s">
        <v>20</v>
      </c>
    </row>
    <row r="4" spans="1:61" x14ac:dyDescent="0.3">
      <c r="B4" t="s">
        <v>3</v>
      </c>
      <c r="C4">
        <f t="shared" si="0"/>
        <v>3</v>
      </c>
      <c r="D4" t="s">
        <v>24</v>
      </c>
      <c r="E4" t="s">
        <v>25</v>
      </c>
      <c r="F4" t="s">
        <v>26</v>
      </c>
    </row>
    <row r="5" spans="1:61" x14ac:dyDescent="0.3">
      <c r="B5" t="s">
        <v>4</v>
      </c>
      <c r="C5">
        <f t="shared" si="0"/>
        <v>0</v>
      </c>
    </row>
    <row r="6" spans="1:61" x14ac:dyDescent="0.3">
      <c r="B6" t="s">
        <v>5</v>
      </c>
      <c r="C6">
        <f t="shared" si="0"/>
        <v>0</v>
      </c>
    </row>
    <row r="7" spans="1:61" x14ac:dyDescent="0.3">
      <c r="B7" t="s">
        <v>6</v>
      </c>
      <c r="C7">
        <f t="shared" si="0"/>
        <v>0</v>
      </c>
    </row>
    <row r="8" spans="1:61" x14ac:dyDescent="0.3">
      <c r="B8" t="s">
        <v>7</v>
      </c>
      <c r="C8">
        <f t="shared" si="0"/>
        <v>0</v>
      </c>
    </row>
    <row r="9" spans="1:61" x14ac:dyDescent="0.3">
      <c r="B9" t="s">
        <v>8</v>
      </c>
      <c r="C9">
        <f t="shared" si="0"/>
        <v>58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41</v>
      </c>
      <c r="S9" t="s">
        <v>42</v>
      </c>
      <c r="T9" t="s">
        <v>43</v>
      </c>
      <c r="U9" t="s">
        <v>44</v>
      </c>
      <c r="V9" t="s">
        <v>45</v>
      </c>
      <c r="W9" t="s">
        <v>25</v>
      </c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 t="s">
        <v>51</v>
      </c>
      <c r="AD9" t="s">
        <v>52</v>
      </c>
      <c r="AE9" t="s">
        <v>53</v>
      </c>
      <c r="AF9" t="s">
        <v>54</v>
      </c>
      <c r="AG9" t="s">
        <v>55</v>
      </c>
      <c r="AH9" t="s">
        <v>56</v>
      </c>
      <c r="AI9" t="s">
        <v>57</v>
      </c>
      <c r="AJ9" t="s">
        <v>58</v>
      </c>
      <c r="AK9" t="s">
        <v>59</v>
      </c>
      <c r="AL9" t="s">
        <v>60</v>
      </c>
      <c r="AM9" t="s">
        <v>61</v>
      </c>
      <c r="AN9" t="s">
        <v>62</v>
      </c>
      <c r="AO9" t="s">
        <v>63</v>
      </c>
      <c r="AP9" t="s">
        <v>64</v>
      </c>
      <c r="AQ9" t="s">
        <v>65</v>
      </c>
      <c r="AR9" t="s">
        <v>66</v>
      </c>
      <c r="AS9" t="s">
        <v>67</v>
      </c>
      <c r="AT9" t="s">
        <v>68</v>
      </c>
      <c r="AU9" t="s">
        <v>69</v>
      </c>
      <c r="AV9" t="s">
        <v>70</v>
      </c>
      <c r="AW9" t="s">
        <v>71</v>
      </c>
      <c r="AX9" t="s">
        <v>72</v>
      </c>
      <c r="AY9" t="s">
        <v>73</v>
      </c>
      <c r="AZ9" t="s">
        <v>74</v>
      </c>
      <c r="BA9" t="s">
        <v>75</v>
      </c>
      <c r="BB9" t="s">
        <v>76</v>
      </c>
      <c r="BC9" t="s">
        <v>77</v>
      </c>
      <c r="BD9" t="s">
        <v>78</v>
      </c>
      <c r="BE9" t="s">
        <v>79</v>
      </c>
      <c r="BF9" t="s">
        <v>22</v>
      </c>
      <c r="BG9" t="s">
        <v>80</v>
      </c>
      <c r="BH9" t="s">
        <v>81</v>
      </c>
      <c r="BI9" t="s">
        <v>82</v>
      </c>
    </row>
    <row r="10" spans="1:61" x14ac:dyDescent="0.3">
      <c r="B10" t="s">
        <v>9</v>
      </c>
      <c r="C10">
        <f t="shared" si="0"/>
        <v>1</v>
      </c>
      <c r="D10" t="s">
        <v>21</v>
      </c>
    </row>
    <row r="11" spans="1:61" x14ac:dyDescent="0.3">
      <c r="B11" t="s">
        <v>10</v>
      </c>
      <c r="C11">
        <f t="shared" si="0"/>
        <v>0</v>
      </c>
    </row>
    <row r="12" spans="1:61" x14ac:dyDescent="0.3">
      <c r="B12" t="s">
        <v>11</v>
      </c>
      <c r="C12">
        <f t="shared" si="0"/>
        <v>1</v>
      </c>
      <c r="D12" t="s">
        <v>21</v>
      </c>
    </row>
    <row r="13" spans="1:61" x14ac:dyDescent="0.3">
      <c r="B13" t="s">
        <v>12</v>
      </c>
      <c r="C13">
        <f t="shared" si="0"/>
        <v>0</v>
      </c>
    </row>
    <row r="14" spans="1:61" x14ac:dyDescent="0.3">
      <c r="B14" t="s">
        <v>13</v>
      </c>
      <c r="C14">
        <f t="shared" si="0"/>
        <v>0</v>
      </c>
    </row>
    <row r="15" spans="1:61" x14ac:dyDescent="0.3">
      <c r="B15" t="s">
        <v>14</v>
      </c>
      <c r="C15">
        <f t="shared" si="0"/>
        <v>10</v>
      </c>
      <c r="D15" t="s">
        <v>24</v>
      </c>
      <c r="E15" t="s">
        <v>79</v>
      </c>
      <c r="F15" t="s">
        <v>83</v>
      </c>
      <c r="G15" t="s">
        <v>84</v>
      </c>
      <c r="H15" t="s">
        <v>22</v>
      </c>
      <c r="I15" t="s">
        <v>80</v>
      </c>
      <c r="J15" t="s">
        <v>81</v>
      </c>
      <c r="K15" t="s">
        <v>85</v>
      </c>
      <c r="L15" t="s">
        <v>86</v>
      </c>
      <c r="M15" t="s">
        <v>82</v>
      </c>
    </row>
    <row r="16" spans="1:61" x14ac:dyDescent="0.3">
      <c r="B16" t="s">
        <v>15</v>
      </c>
      <c r="C16">
        <f t="shared" si="0"/>
        <v>5</v>
      </c>
      <c r="D16" t="s">
        <v>21</v>
      </c>
      <c r="E16" t="s">
        <v>83</v>
      </c>
      <c r="F16" t="s">
        <v>84</v>
      </c>
      <c r="G16" t="s">
        <v>22</v>
      </c>
      <c r="H16" t="s">
        <v>23</v>
      </c>
    </row>
    <row r="17" spans="1:18" x14ac:dyDescent="0.3">
      <c r="B17" t="s">
        <v>16</v>
      </c>
      <c r="C17">
        <f t="shared" si="0"/>
        <v>3</v>
      </c>
      <c r="D17" t="s">
        <v>21</v>
      </c>
      <c r="E17" t="s">
        <v>83</v>
      </c>
      <c r="F17" t="s">
        <v>87</v>
      </c>
    </row>
    <row r="18" spans="1:18" x14ac:dyDescent="0.3">
      <c r="B18" t="s">
        <v>17</v>
      </c>
      <c r="C18">
        <f t="shared" si="0"/>
        <v>0</v>
      </c>
    </row>
    <row r="19" spans="1:18" ht="15" thickBot="1" x14ac:dyDescent="0.35">
      <c r="A19" s="2"/>
      <c r="B19" s="2" t="s">
        <v>18</v>
      </c>
      <c r="C19" s="2">
        <f t="shared" si="0"/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B20" t="s">
        <v>88</v>
      </c>
      <c r="C20">
        <f>SUM(C2:C19)</f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Sel_ESMs</vt:lpstr>
      <vt:lpstr>All_ESMs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Onno Nennecke</dc:creator>
  <cp:lastModifiedBy>Onno Nennecke</cp:lastModifiedBy>
  <dcterms:created xsi:type="dcterms:W3CDTF">2015-06-05T18:19:34Z</dcterms:created>
  <dcterms:modified xsi:type="dcterms:W3CDTF">2025-03-21T16:24:24Z</dcterms:modified>
</cp:coreProperties>
</file>